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esh kannan\Desktop\"/>
    </mc:Choice>
  </mc:AlternateContent>
  <xr:revisionPtr revIDLastSave="0" documentId="13_ncr:1_{6BB126E1-01B8-449D-AAD1-2C8773697398}" xr6:coauthVersionLast="47" xr6:coauthVersionMax="47" xr10:uidLastSave="{00000000-0000-0000-0000-000000000000}"/>
  <bookViews>
    <workbookView xWindow="-108" yWindow="-108" windowWidth="23256" windowHeight="13176" xr2:uid="{2FA6043E-A49B-475C-9E50-B89D4C05B87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H4" i="1"/>
  <c r="H3" i="1"/>
  <c r="I3" i="1"/>
  <c r="G3" i="1"/>
  <c r="G4" i="1"/>
  <c r="G2" i="1"/>
</calcChain>
</file>

<file path=xl/sharedStrings.xml><?xml version="1.0" encoding="utf-8"?>
<sst xmlns="http://schemas.openxmlformats.org/spreadsheetml/2006/main" count="9" uniqueCount="9">
  <si>
    <t>Year</t>
  </si>
  <si>
    <t>Total Revenue (USD mn)</t>
  </si>
  <si>
    <t>Operating Expenses (USD mn)</t>
  </si>
  <si>
    <t>Net Income (USD mn)</t>
  </si>
  <si>
    <t>AUC/A (USD tn)</t>
  </si>
  <si>
    <t>AUM (USD tn)</t>
  </si>
  <si>
    <t>Profit Margin (%)</t>
  </si>
  <si>
    <t>Revenue Growth %</t>
  </si>
  <si>
    <t>Net Income Growth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</si>
</sst>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/>
    <xf numFmtId="10" fontId="0" fillId="0" borderId="0" xfId="0" applyNumberFormat="1"/>
    <xf numFmtId="10" fontId="1" fillId="0" borderId="0" xfId="0" applyNumberFormat="1" applyFon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81A241-ED6A-4C0A-A28C-845CF4454577}" name="Table1" displayName="Table1" ref="A1:I4" totalsRowShown="0" headerRowDxfId="0">
  <autoFilter ref="A1:I4" xr:uid="{0381A241-ED6A-4C0A-A28C-845CF4454577}"/>
  <tableColumns count="9">
    <tableColumn id="1" xr3:uid="{03BA6A14-2840-4498-8648-CDF708D2EDA2}" name="Year"/>
    <tableColumn id="2" xr3:uid="{B64A8AFB-0C1D-4D3F-B874-19F9A7989857}" name="Total Revenue (USD mn)"/>
    <tableColumn id="3" xr3:uid="{785527F9-82F2-49D0-9076-C48D20D5CE0C}" name="Operating Expenses (USD mn)"/>
    <tableColumn id="4" xr3:uid="{DEB8AED6-C403-494C-925B-47FC726B3C40}" name="Net Income (USD mn)"/>
    <tableColumn id="5" xr3:uid="{1155F3F9-F7A2-4DF6-93B0-BD809F9268CE}" name="AUC/A (USD tn)"/>
    <tableColumn id="6" xr3:uid="{06837E4C-805E-473B-91D2-AD38DBF6B39E}" name="AUM (USD tn)"/>
    <tableColumn id="7" xr3:uid="{79585AB8-CA34-4A4D-9B0B-77776CEF20C2}" name="Profit Margin (%)" dataDxfId="3">
      <calculatedColumnFormula>D2/B2</calculatedColumnFormula>
    </tableColumn>
    <tableColumn id="8" xr3:uid="{884DE4BE-85D7-485F-9F73-0E46903BAC79}" name="Revenue Growth %" dataDxfId="2">
      <calculatedColumnFormula>(B2-B1)/B1</calculatedColumnFormula>
    </tableColumn>
    <tableColumn id="9" xr3:uid="{190D578A-A7CD-4D0E-A460-14D18D9C5BE3}" name="Net Income Growth %" dataDxfId="1">
      <calculatedColumnFormula>(D2-D1)/D1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AC10C-C36F-4B54-BEE4-732C3CF641B8}">
  <dimension ref="A1:I4"/>
  <sheetViews>
    <sheetView tabSelected="1" workbookViewId="0">
      <selection activeCell="D9" sqref="D9"/>
    </sheetView>
  </sheetViews>
  <sheetFormatPr defaultRowHeight="14.4" x14ac:dyDescent="0.3"/>
  <cols>
    <col min="1" max="1" width="12.5546875" customWidth="1"/>
    <col min="2" max="2" width="23.44140625" customWidth="1"/>
    <col min="3" max="3" width="27.88671875" customWidth="1"/>
    <col min="4" max="4" width="21.21875" customWidth="1"/>
    <col min="5" max="5" width="16.21875" customWidth="1"/>
    <col min="6" max="6" width="14.77734375" customWidth="1"/>
    <col min="7" max="7" width="17.21875" style="5" customWidth="1"/>
    <col min="8" max="8" width="18.77734375" style="5" customWidth="1"/>
    <col min="9" max="9" width="21.21875" style="5" customWidth="1"/>
  </cols>
  <sheetData>
    <row r="1" spans="1:9" ht="50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</row>
    <row r="2" spans="1:9" ht="19.2" customHeight="1" x14ac:dyDescent="0.3">
      <c r="A2" s="2">
        <v>2019</v>
      </c>
      <c r="B2" s="3">
        <v>11755</v>
      </c>
      <c r="C2" s="3">
        <v>9470</v>
      </c>
      <c r="D2" s="3">
        <v>2009</v>
      </c>
      <c r="E2">
        <v>34.4</v>
      </c>
      <c r="F2">
        <v>3.1</v>
      </c>
      <c r="G2" s="5">
        <f>D2/B2</f>
        <v>0.1709059974478945</v>
      </c>
    </row>
    <row r="3" spans="1:9" x14ac:dyDescent="0.3">
      <c r="A3">
        <v>2020</v>
      </c>
      <c r="B3">
        <v>11703</v>
      </c>
      <c r="C3">
        <v>8716</v>
      </c>
      <c r="D3">
        <v>2420</v>
      </c>
      <c r="E3">
        <v>38.799999999999997</v>
      </c>
      <c r="F3">
        <v>3.5</v>
      </c>
      <c r="G3" s="5">
        <f t="shared" ref="G3:G4" si="0">D3/B3</f>
        <v>0.20678458514910705</v>
      </c>
      <c r="H3" s="5">
        <f>(B3-B2)/B2</f>
        <v>-4.4236495108464485E-3</v>
      </c>
      <c r="I3" s="5">
        <f>(D3-D2)/D2</f>
        <v>0.20457939273270284</v>
      </c>
    </row>
    <row r="4" spans="1:9" x14ac:dyDescent="0.3">
      <c r="A4">
        <v>2021</v>
      </c>
      <c r="B4">
        <v>12061</v>
      </c>
      <c r="C4">
        <v>8889</v>
      </c>
      <c r="D4">
        <v>2709</v>
      </c>
      <c r="E4">
        <v>43.7</v>
      </c>
      <c r="F4">
        <v>4.0999999999999996</v>
      </c>
      <c r="G4" s="5">
        <f t="shared" si="0"/>
        <v>0.22460824143934996</v>
      </c>
      <c r="H4" s="5">
        <f>(B4-B3)/B3</f>
        <v>3.0590446893958814E-2</v>
      </c>
      <c r="I4" s="5">
        <f>(D4-D3)/D3</f>
        <v>0.11942148760330579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763C9-C783-4AC5-A221-549622519AD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logesh kannan</dc:creator>
  <cp:lastModifiedBy>logesh kannan</cp:lastModifiedBy>
  <dcterms:created xsi:type="dcterms:W3CDTF">2026-01-28T13:22:03Z</dcterms:created>
  <dcterms:modified xsi:type="dcterms:W3CDTF">2026-01-28T16:37:24Z</dcterms:modified>
</cp:coreProperties>
</file>